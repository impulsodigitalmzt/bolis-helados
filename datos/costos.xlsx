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gina Venta Bolis\datos\"/>
    </mc:Choice>
  </mc:AlternateContent>
  <xr:revisionPtr revIDLastSave="0" documentId="13_ncr:1_{1E63A280-7B18-4508-94BC-BFA59F2AB1D5}" xr6:coauthVersionLast="47" xr6:coauthVersionMax="47" xr10:uidLastSave="{00000000-0000-0000-0000-000000000000}"/>
  <bookViews>
    <workbookView xWindow="-120" yWindow="-120" windowWidth="29040" windowHeight="15840" tabRatio="695" xr2:uid="{C9F31BEF-597D-471C-872A-5048C5703FC4}"/>
  </bookViews>
  <sheets>
    <sheet name="Sabores 2025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1" i="11" l="1"/>
  <c r="F119" i="11"/>
  <c r="F104" i="11"/>
  <c r="E130" i="11"/>
  <c r="F130" i="11" s="1"/>
  <c r="B131" i="11"/>
  <c r="C131" i="11" s="1"/>
  <c r="F131" i="11" s="1"/>
  <c r="A131" i="11"/>
  <c r="A130" i="11"/>
  <c r="A34" i="11"/>
  <c r="D136" i="11"/>
  <c r="F135" i="11"/>
  <c r="E133" i="11"/>
  <c r="F133" i="11" s="1"/>
  <c r="A132" i="11"/>
  <c r="F124" i="11"/>
  <c r="E121" i="11"/>
  <c r="C121" i="11"/>
  <c r="E122" i="11"/>
  <c r="F122" i="11" s="1"/>
  <c r="A119" i="11"/>
  <c r="E107" i="11"/>
  <c r="F107" i="11" s="1"/>
  <c r="C107" i="11"/>
  <c r="A107" i="11"/>
  <c r="A121" i="11"/>
  <c r="A108" i="11"/>
  <c r="E118" i="11"/>
  <c r="F118" i="11" s="1"/>
  <c r="A118" i="11"/>
  <c r="F94" i="11"/>
  <c r="E106" i="11"/>
  <c r="F106" i="11" s="1"/>
  <c r="C106" i="11"/>
  <c r="E105" i="11"/>
  <c r="F105" i="11" s="1"/>
  <c r="E5" i="11"/>
  <c r="C5" i="11"/>
  <c r="E108" i="11"/>
  <c r="C108" i="11"/>
  <c r="A106" i="11"/>
  <c r="A105" i="11"/>
  <c r="A104" i="11"/>
  <c r="A94" i="11"/>
  <c r="F112" i="11"/>
  <c r="E110" i="11"/>
  <c r="F110" i="11" s="1"/>
  <c r="D99" i="11"/>
  <c r="F98" i="11"/>
  <c r="E96" i="11"/>
  <c r="F96" i="11" s="1"/>
  <c r="A95" i="11"/>
  <c r="F4" i="11"/>
  <c r="E4" i="11"/>
  <c r="A4" i="11"/>
  <c r="E84" i="11"/>
  <c r="F84" i="11" s="1"/>
  <c r="A84" i="11"/>
  <c r="F88" i="11"/>
  <c r="E86" i="11"/>
  <c r="F86" i="11" s="1"/>
  <c r="A85" i="11"/>
  <c r="A75" i="11"/>
  <c r="A65" i="11"/>
  <c r="A55" i="11"/>
  <c r="A45" i="11"/>
  <c r="A35" i="11"/>
  <c r="A25" i="11"/>
  <c r="A14" i="11"/>
  <c r="E6" i="11"/>
  <c r="F6" i="11" s="1"/>
  <c r="C6" i="11"/>
  <c r="A6" i="11"/>
  <c r="A5" i="11"/>
  <c r="E3" i="11"/>
  <c r="F3" i="11" s="1"/>
  <c r="C3" i="11"/>
  <c r="A3" i="11"/>
  <c r="E74" i="11"/>
  <c r="A74" i="11"/>
  <c r="D79" i="11"/>
  <c r="F78" i="11"/>
  <c r="E76" i="11"/>
  <c r="F76" i="11" s="1"/>
  <c r="E64" i="11"/>
  <c r="F64" i="11" s="1"/>
  <c r="C64" i="11"/>
  <c r="A64" i="11"/>
  <c r="D69" i="11"/>
  <c r="F68" i="11"/>
  <c r="E66" i="11"/>
  <c r="F66" i="11" s="1"/>
  <c r="E54" i="11"/>
  <c r="F54" i="11" s="1"/>
  <c r="A54" i="11"/>
  <c r="D59" i="11"/>
  <c r="F58" i="11"/>
  <c r="E56" i="11"/>
  <c r="F56" i="11" s="1"/>
  <c r="D18" i="11"/>
  <c r="D29" i="11"/>
  <c r="D39" i="11"/>
  <c r="D49" i="11"/>
  <c r="E44" i="11"/>
  <c r="F44" i="11" s="1"/>
  <c r="A44" i="11"/>
  <c r="F48" i="11"/>
  <c r="E46" i="11"/>
  <c r="F46" i="11" s="1"/>
  <c r="E34" i="11"/>
  <c r="F34" i="11" s="1"/>
  <c r="F38" i="11"/>
  <c r="E36" i="11"/>
  <c r="F36" i="11" s="1"/>
  <c r="E24" i="11"/>
  <c r="F24" i="11" s="1"/>
  <c r="F28" i="11"/>
  <c r="F17" i="11"/>
  <c r="A24" i="11"/>
  <c r="A23" i="11"/>
  <c r="E26" i="11"/>
  <c r="F26" i="11" s="1"/>
  <c r="F23" i="11"/>
  <c r="E15" i="11"/>
  <c r="F15" i="11" s="1"/>
  <c r="E13" i="11"/>
  <c r="F13" i="11" s="1"/>
  <c r="A12" i="11"/>
  <c r="D13" i="11"/>
  <c r="E12" i="11"/>
  <c r="F12" i="11" s="1"/>
  <c r="A13" i="11"/>
  <c r="F121" i="11" l="1"/>
  <c r="F123" i="11" s="1"/>
  <c r="B125" i="11" s="1"/>
  <c r="F126" i="11" s="1"/>
  <c r="C7" i="11"/>
  <c r="F5" i="11"/>
  <c r="F7" i="11" s="1"/>
  <c r="F108" i="11"/>
  <c r="C75" i="11"/>
  <c r="C25" i="11"/>
  <c r="F74" i="11"/>
  <c r="F132" i="11" l="1"/>
  <c r="F134" i="11" s="1"/>
  <c r="B136" i="11" s="1"/>
  <c r="E132" i="11"/>
  <c r="C95" i="11"/>
  <c r="C132" i="11"/>
  <c r="C35" i="11"/>
  <c r="C14" i="11"/>
  <c r="C55" i="11"/>
  <c r="C65" i="11"/>
  <c r="C45" i="11"/>
  <c r="C85" i="11"/>
  <c r="F125" i="11"/>
  <c r="F111" i="11"/>
  <c r="B113" i="11" s="1"/>
  <c r="E95" i="11"/>
  <c r="F95" i="11"/>
  <c r="F97" i="11" s="1"/>
  <c r="B99" i="11" s="1"/>
  <c r="E85" i="11"/>
  <c r="F85" i="11"/>
  <c r="F87" i="11" s="1"/>
  <c r="B89" i="11" s="1"/>
  <c r="F75" i="11"/>
  <c r="F77" i="11" s="1"/>
  <c r="B79" i="11" s="1"/>
  <c r="F80" i="11" s="1"/>
  <c r="F55" i="11"/>
  <c r="F57" i="11" s="1"/>
  <c r="B59" i="11" s="1"/>
  <c r="F35" i="11"/>
  <c r="F37" i="11" s="1"/>
  <c r="B39" i="11" s="1"/>
  <c r="E14" i="11"/>
  <c r="E75" i="11"/>
  <c r="E55" i="11"/>
  <c r="E35" i="11"/>
  <c r="E45" i="11"/>
  <c r="F65" i="11"/>
  <c r="F67" i="11" s="1"/>
  <c r="B69" i="11" s="1"/>
  <c r="F45" i="11"/>
  <c r="F47" i="11" s="1"/>
  <c r="B49" i="11" s="1"/>
  <c r="F25" i="11"/>
  <c r="F27" i="11" s="1"/>
  <c r="B29" i="11" s="1"/>
  <c r="E65" i="11"/>
  <c r="E25" i="11"/>
  <c r="F14" i="11"/>
  <c r="F16" i="11" s="1"/>
  <c r="B18" i="11" s="1"/>
  <c r="F18" i="11" s="1"/>
  <c r="F136" i="11" l="1"/>
  <c r="F137" i="11"/>
  <c r="F113" i="11"/>
  <c r="F114" i="11"/>
  <c r="F100" i="11"/>
  <c r="F99" i="11"/>
  <c r="F89" i="11"/>
  <c r="F90" i="11"/>
  <c r="F60" i="11"/>
  <c r="F50" i="11"/>
  <c r="F70" i="11"/>
  <c r="F39" i="11"/>
  <c r="F40" i="11"/>
  <c r="F29" i="11"/>
  <c r="F30" i="11"/>
  <c r="F19" i="11"/>
  <c r="F49" i="11"/>
  <c r="F59" i="11"/>
  <c r="F79" i="11"/>
  <c r="F69" i="11"/>
</calcChain>
</file>

<file path=xl/sharedStrings.xml><?xml version="1.0" encoding="utf-8"?>
<sst xmlns="http://schemas.openxmlformats.org/spreadsheetml/2006/main" count="281" uniqueCount="68">
  <si>
    <t>Agua</t>
  </si>
  <si>
    <t>Nuez</t>
  </si>
  <si>
    <t>Vainilla</t>
  </si>
  <si>
    <t>Baileys</t>
  </si>
  <si>
    <t>costo unitario</t>
  </si>
  <si>
    <t>precio venta</t>
  </si>
  <si>
    <t>utilidad</t>
  </si>
  <si>
    <t>Limón</t>
  </si>
  <si>
    <t>Leche quemada</t>
  </si>
  <si>
    <t>Coco</t>
  </si>
  <si>
    <t>Galleta oreo</t>
  </si>
  <si>
    <t>cantidad</t>
  </si>
  <si>
    <t>lts</t>
  </si>
  <si>
    <t>grs</t>
  </si>
  <si>
    <t>CMC</t>
  </si>
  <si>
    <t>Ciruela cocida</t>
  </si>
  <si>
    <t>Preparacion base de leche</t>
  </si>
  <si>
    <t>TOTAL</t>
  </si>
  <si>
    <t>CANTIDAD</t>
  </si>
  <si>
    <t>MEDIDA</t>
  </si>
  <si>
    <t>PRECIO</t>
  </si>
  <si>
    <t>Leche condensada</t>
  </si>
  <si>
    <t>Leche entera</t>
  </si>
  <si>
    <t>precio</t>
  </si>
  <si>
    <t>kg</t>
  </si>
  <si>
    <t>oferta</t>
  </si>
  <si>
    <t>kgs</t>
  </si>
  <si>
    <t>Maicena nuez</t>
  </si>
  <si>
    <t>Maicena coco</t>
  </si>
  <si>
    <t>Nuez en grano</t>
  </si>
  <si>
    <t>Azúcar</t>
  </si>
  <si>
    <t>Vainilla para helados</t>
  </si>
  <si>
    <t>Bolsas para helados</t>
  </si>
  <si>
    <t>Bolsas para entrega</t>
  </si>
  <si>
    <t>Servilletas</t>
  </si>
  <si>
    <t>Sobre de tang limon</t>
  </si>
  <si>
    <t>Sobre de tang mango</t>
  </si>
  <si>
    <t>Sobre de tang fresa</t>
  </si>
  <si>
    <t>Mango</t>
  </si>
  <si>
    <t>Fresas congelada</t>
  </si>
  <si>
    <t>ml</t>
  </si>
  <si>
    <t>pzas</t>
  </si>
  <si>
    <t>lt</t>
  </si>
  <si>
    <t>paquete</t>
  </si>
  <si>
    <t>Descripcion</t>
  </si>
  <si>
    <t>Relacion de insumos</t>
  </si>
  <si>
    <t>unidad</t>
  </si>
  <si>
    <t>Bolsas</t>
  </si>
  <si>
    <t>UNIDAD</t>
  </si>
  <si>
    <t>INGREDIENTES</t>
  </si>
  <si>
    <t>P. UNITARIO</t>
  </si>
  <si>
    <t>Total de bolis producidos</t>
  </si>
  <si>
    <t>Kg</t>
  </si>
  <si>
    <t>Galletas María</t>
  </si>
  <si>
    <t xml:space="preserve"> paquete de 3</t>
  </si>
  <si>
    <t>nota</t>
  </si>
  <si>
    <t>Galleta maria</t>
  </si>
  <si>
    <t>paquete 307 grs</t>
  </si>
  <si>
    <t>Leche con Ciruela</t>
  </si>
  <si>
    <t>Fresas con Crema</t>
  </si>
  <si>
    <t>Galletas Oreo</t>
  </si>
  <si>
    <t>mlt</t>
  </si>
  <si>
    <t>Lts</t>
  </si>
  <si>
    <t>Precio de venta boli de leche</t>
  </si>
  <si>
    <t>Margen de utilidad</t>
  </si>
  <si>
    <t>Mango con Chile</t>
  </si>
  <si>
    <t>Tajin</t>
  </si>
  <si>
    <t>Pay de Limon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</si>
</sst>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2" xfId="0" applyBorder="1"/>
    <xf numFmtId="0" fontId="0" fillId="0" borderId="3" xfId="0" applyBorder="1"/>
    <xf numFmtId="44" fontId="0" fillId="0" borderId="4" xfId="0" applyNumberFormat="1" applyBorder="1"/>
    <xf numFmtId="44" fontId="0" fillId="0" borderId="1" xfId="0" applyNumberFormat="1" applyBorder="1"/>
    <xf numFmtId="0" fontId="0" fillId="0" borderId="6" xfId="0" applyBorder="1"/>
    <xf numFmtId="44" fontId="0" fillId="0" borderId="6" xfId="1" applyFont="1" applyBorder="1"/>
    <xf numFmtId="0" fontId="0" fillId="0" borderId="10" xfId="0" applyBorder="1"/>
    <xf numFmtId="0" fontId="0" fillId="0" borderId="11" xfId="0" applyBorder="1"/>
    <xf numFmtId="44" fontId="0" fillId="0" borderId="11" xfId="1" applyFont="1" applyBorder="1"/>
    <xf numFmtId="0" fontId="0" fillId="0" borderId="12" xfId="0" applyBorder="1"/>
    <xf numFmtId="0" fontId="0" fillId="0" borderId="13" xfId="0" applyBorder="1"/>
    <xf numFmtId="44" fontId="0" fillId="0" borderId="13" xfId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4" fontId="0" fillId="0" borderId="16" xfId="1" applyFont="1" applyBorder="1"/>
    <xf numFmtId="0" fontId="0" fillId="0" borderId="17" xfId="0" applyBorder="1"/>
    <xf numFmtId="0" fontId="0" fillId="4" borderId="6" xfId="0" applyFill="1" applyBorder="1"/>
    <xf numFmtId="44" fontId="0" fillId="0" borderId="6" xfId="0" applyNumberFormat="1" applyBorder="1"/>
    <xf numFmtId="0" fontId="0" fillId="4" borderId="10" xfId="0" applyFill="1" applyBorder="1"/>
    <xf numFmtId="0" fontId="0" fillId="4" borderId="11" xfId="0" applyFill="1" applyBorder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4" xfId="0" applyNumberFormat="1" applyBorder="1"/>
    <xf numFmtId="0" fontId="0" fillId="0" borderId="5" xfId="0" applyBorder="1"/>
    <xf numFmtId="0" fontId="0" fillId="0" borderId="1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2" xfId="0" applyBorder="1"/>
    <xf numFmtId="44" fontId="0" fillId="0" borderId="22" xfId="1" applyFont="1" applyBorder="1"/>
    <xf numFmtId="0" fontId="0" fillId="0" borderId="4" xfId="0" applyBorder="1"/>
    <xf numFmtId="10" fontId="0" fillId="0" borderId="0" xfId="2" applyNumberFormat="1" applyFont="1"/>
    <xf numFmtId="0" fontId="3" fillId="2" borderId="2" xfId="0" applyFont="1" applyFill="1" applyBorder="1"/>
    <xf numFmtId="0" fontId="6" fillId="2" borderId="3" xfId="0" applyFont="1" applyFill="1" applyBorder="1"/>
    <xf numFmtId="10" fontId="3" fillId="2" borderId="4" xfId="2" applyNumberFormat="1" applyFont="1" applyFill="1" applyBorder="1"/>
    <xf numFmtId="44" fontId="0" fillId="0" borderId="22" xfId="0" applyNumberFormat="1" applyBorder="1"/>
    <xf numFmtId="44" fontId="0" fillId="0" borderId="23" xfId="0" applyNumberFormat="1" applyBorder="1"/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22" xfId="0" applyBorder="1" applyAlignment="1">
      <alignment horizontal="right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99FF99"/>
      <color rgb="FFFFCCCC"/>
      <color rgb="FFFFCCFF"/>
      <color rgb="FFAC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AEE6-23BA-467B-8FCC-6B86426A06BE}">
  <dimension ref="A1:Q137"/>
  <sheetViews>
    <sheetView tabSelected="1" zoomScaleNormal="100" workbookViewId="0">
      <selection activeCell="P16" sqref="P16"/>
    </sheetView>
  </sheetViews>
  <sheetFormatPr baseColWidth="10" defaultRowHeight="15" x14ac:dyDescent="0.25"/>
  <cols>
    <col min="1" max="1" width="24.42578125" bestFit="1" customWidth="1"/>
    <col min="2" max="2" width="10.28515625" bestFit="1" customWidth="1"/>
    <col min="3" max="3" width="12" bestFit="1" customWidth="1"/>
    <col min="4" max="4" width="8.140625" bestFit="1" customWidth="1"/>
    <col min="5" max="5" width="9" bestFit="1" customWidth="1"/>
    <col min="6" max="6" width="11.85546875" bestFit="1" customWidth="1"/>
    <col min="7" max="7" width="6.85546875" customWidth="1"/>
    <col min="8" max="8" width="27" bestFit="1" customWidth="1"/>
    <col min="9" max="9" width="8.5703125" bestFit="1" customWidth="1"/>
    <col min="10" max="10" width="8.42578125" bestFit="1" customWidth="1"/>
    <col min="11" max="11" width="9" style="1" bestFit="1" customWidth="1"/>
    <col min="12" max="12" width="8" bestFit="1" customWidth="1"/>
    <col min="13" max="13" width="14.85546875" bestFit="1" customWidth="1"/>
  </cols>
  <sheetData>
    <row r="1" spans="1:17" ht="27" thickBot="1" x14ac:dyDescent="0.45">
      <c r="A1" s="46" t="s">
        <v>16</v>
      </c>
      <c r="B1" s="47"/>
      <c r="C1" s="47"/>
      <c r="D1" s="47"/>
      <c r="E1" s="47"/>
      <c r="F1" s="48"/>
      <c r="G1" s="2"/>
      <c r="H1" s="50" t="s">
        <v>45</v>
      </c>
      <c r="I1" s="51"/>
      <c r="J1" s="51"/>
      <c r="K1" s="51"/>
      <c r="L1" s="52"/>
      <c r="Q1" s="1"/>
    </row>
    <row r="2" spans="1:17" x14ac:dyDescent="0.25">
      <c r="A2" s="22" t="s">
        <v>49</v>
      </c>
      <c r="B2" s="20" t="s">
        <v>18</v>
      </c>
      <c r="C2" s="20" t="s">
        <v>19</v>
      </c>
      <c r="D2" s="20" t="s">
        <v>48</v>
      </c>
      <c r="E2" s="20" t="s">
        <v>20</v>
      </c>
      <c r="F2" s="23" t="s">
        <v>50</v>
      </c>
      <c r="H2" s="16" t="s">
        <v>44</v>
      </c>
      <c r="I2" s="17" t="s">
        <v>11</v>
      </c>
      <c r="J2" s="17" t="s">
        <v>46</v>
      </c>
      <c r="K2" s="18" t="s">
        <v>23</v>
      </c>
      <c r="L2" s="19" t="s">
        <v>25</v>
      </c>
      <c r="M2" t="s">
        <v>55</v>
      </c>
      <c r="Q2" s="1"/>
    </row>
    <row r="3" spans="1:17" x14ac:dyDescent="0.25">
      <c r="A3" s="9" t="str">
        <f>H3</f>
        <v>Leche entera</v>
      </c>
      <c r="B3" s="27">
        <v>1</v>
      </c>
      <c r="C3" s="7">
        <f>I3</f>
        <v>1.5</v>
      </c>
      <c r="D3" s="7" t="s">
        <v>62</v>
      </c>
      <c r="E3" s="21">
        <f>K3</f>
        <v>30</v>
      </c>
      <c r="F3" s="24">
        <f>E3*B3</f>
        <v>30</v>
      </c>
      <c r="H3" s="9" t="s">
        <v>22</v>
      </c>
      <c r="I3" s="7">
        <v>1.5</v>
      </c>
      <c r="J3" s="7" t="s">
        <v>62</v>
      </c>
      <c r="K3" s="8">
        <v>30</v>
      </c>
      <c r="L3" s="10"/>
      <c r="Q3" s="1"/>
    </row>
    <row r="4" spans="1:17" x14ac:dyDescent="0.25">
      <c r="A4" s="9" t="str">
        <f>H7</f>
        <v>Vainilla</v>
      </c>
      <c r="B4" s="27">
        <v>1</v>
      </c>
      <c r="C4" s="7">
        <v>30</v>
      </c>
      <c r="D4" s="7" t="s">
        <v>40</v>
      </c>
      <c r="E4" s="21">
        <f>K7</f>
        <v>18.5</v>
      </c>
      <c r="F4" s="24">
        <f>(K7/I7)*C4</f>
        <v>3.7</v>
      </c>
      <c r="H4" s="9" t="s">
        <v>14</v>
      </c>
      <c r="I4" s="7">
        <v>180</v>
      </c>
      <c r="J4" s="7" t="s">
        <v>13</v>
      </c>
      <c r="K4" s="8">
        <v>58</v>
      </c>
      <c r="L4" s="10"/>
      <c r="Q4" s="1"/>
    </row>
    <row r="5" spans="1:17" x14ac:dyDescent="0.25">
      <c r="A5" s="9" t="str">
        <f>H4</f>
        <v>CMC</v>
      </c>
      <c r="B5" s="27">
        <v>7.5</v>
      </c>
      <c r="C5" s="7">
        <f>I4</f>
        <v>180</v>
      </c>
      <c r="D5" s="7" t="s">
        <v>13</v>
      </c>
      <c r="E5" s="21">
        <f>K4</f>
        <v>58</v>
      </c>
      <c r="F5" s="24">
        <f>(E5/C5)*B5</f>
        <v>2.416666666666667</v>
      </c>
      <c r="H5" s="9" t="s">
        <v>21</v>
      </c>
      <c r="I5" s="7">
        <v>380</v>
      </c>
      <c r="J5" s="7" t="s">
        <v>13</v>
      </c>
      <c r="K5" s="8">
        <v>29</v>
      </c>
      <c r="L5" s="11">
        <v>20</v>
      </c>
      <c r="Q5" s="1"/>
    </row>
    <row r="6" spans="1:17" ht="15.75" thickBot="1" x14ac:dyDescent="0.3">
      <c r="A6" s="32" t="str">
        <f>H5</f>
        <v>Leche condensada</v>
      </c>
      <c r="B6" s="33">
        <v>1.5</v>
      </c>
      <c r="C6" s="34">
        <f>I5</f>
        <v>380</v>
      </c>
      <c r="D6" s="34" t="s">
        <v>13</v>
      </c>
      <c r="E6" s="35">
        <f>K5</f>
        <v>29</v>
      </c>
      <c r="F6" s="24">
        <f>E6*B6</f>
        <v>43.5</v>
      </c>
      <c r="H6" s="9" t="s">
        <v>15</v>
      </c>
      <c r="I6" s="7">
        <v>1</v>
      </c>
      <c r="J6" s="7" t="s">
        <v>26</v>
      </c>
      <c r="K6" s="8">
        <v>60</v>
      </c>
      <c r="L6" s="10"/>
      <c r="Q6" s="1"/>
    </row>
    <row r="7" spans="1:17" ht="15.75" thickBot="1" x14ac:dyDescent="0.3">
      <c r="A7" s="3" t="s">
        <v>17</v>
      </c>
      <c r="B7" s="3"/>
      <c r="C7" s="4">
        <f>(1500)+C5+C6+C4</f>
        <v>2090</v>
      </c>
      <c r="D7" s="4" t="s">
        <v>13</v>
      </c>
      <c r="E7" s="36"/>
      <c r="F7" s="6">
        <f>SUM(F3:F6)</f>
        <v>79.616666666666674</v>
      </c>
      <c r="H7" s="9" t="s">
        <v>2</v>
      </c>
      <c r="I7" s="7">
        <v>150</v>
      </c>
      <c r="J7" s="7" t="s">
        <v>13</v>
      </c>
      <c r="K7" s="8">
        <v>18.5</v>
      </c>
      <c r="L7" s="10"/>
      <c r="Q7" s="1"/>
    </row>
    <row r="8" spans="1:17" x14ac:dyDescent="0.25">
      <c r="F8" s="2"/>
      <c r="H8" s="9" t="s">
        <v>10</v>
      </c>
      <c r="I8" s="7">
        <v>24</v>
      </c>
      <c r="J8" s="7" t="s">
        <v>41</v>
      </c>
      <c r="K8" s="8">
        <v>37</v>
      </c>
      <c r="L8" s="10"/>
      <c r="M8" t="s">
        <v>57</v>
      </c>
    </row>
    <row r="9" spans="1:17" ht="15.75" thickBot="1" x14ac:dyDescent="0.3">
      <c r="A9" s="49"/>
      <c r="B9" s="49"/>
      <c r="H9" s="9" t="s">
        <v>56</v>
      </c>
      <c r="I9" s="7">
        <v>432</v>
      </c>
      <c r="J9" s="7" t="s">
        <v>13</v>
      </c>
      <c r="K9" s="8">
        <v>38</v>
      </c>
      <c r="L9" s="10"/>
      <c r="M9" t="s">
        <v>54</v>
      </c>
    </row>
    <row r="10" spans="1:17" ht="26.25" x14ac:dyDescent="0.4">
      <c r="A10" s="46" t="s">
        <v>58</v>
      </c>
      <c r="B10" s="47"/>
      <c r="C10" s="47"/>
      <c r="D10" s="47"/>
      <c r="E10" s="47"/>
      <c r="F10" s="48"/>
      <c r="G10" s="1"/>
      <c r="H10" s="9" t="s">
        <v>35</v>
      </c>
      <c r="I10" s="7">
        <v>13</v>
      </c>
      <c r="J10" s="7" t="s">
        <v>13</v>
      </c>
      <c r="K10" s="8">
        <v>6.5</v>
      </c>
      <c r="L10" s="10"/>
    </row>
    <row r="11" spans="1:17" x14ac:dyDescent="0.25">
      <c r="A11" s="22" t="s">
        <v>49</v>
      </c>
      <c r="B11" s="20" t="s">
        <v>18</v>
      </c>
      <c r="C11" s="20" t="s">
        <v>19</v>
      </c>
      <c r="D11" s="20" t="s">
        <v>48</v>
      </c>
      <c r="E11" s="20" t="s">
        <v>20</v>
      </c>
      <c r="F11" s="23" t="s">
        <v>50</v>
      </c>
      <c r="H11" s="9" t="s">
        <v>36</v>
      </c>
      <c r="I11" s="7">
        <v>13</v>
      </c>
      <c r="J11" s="7" t="s">
        <v>13</v>
      </c>
      <c r="K11" s="8">
        <v>5.8</v>
      </c>
      <c r="L11" s="10"/>
    </row>
    <row r="12" spans="1:17" x14ac:dyDescent="0.25">
      <c r="A12" s="9" t="str">
        <f>H6</f>
        <v>Ciruela cocida</v>
      </c>
      <c r="B12" s="27">
        <v>1</v>
      </c>
      <c r="C12" s="7">
        <v>1</v>
      </c>
      <c r="D12" s="7" t="s">
        <v>52</v>
      </c>
      <c r="E12" s="21">
        <f>K6</f>
        <v>60</v>
      </c>
      <c r="F12" s="24">
        <f>E12*B12</f>
        <v>60</v>
      </c>
      <c r="H12" s="9" t="s">
        <v>37</v>
      </c>
      <c r="I12" s="7">
        <v>13</v>
      </c>
      <c r="J12" s="7" t="s">
        <v>13</v>
      </c>
      <c r="K12" s="8">
        <v>5.8</v>
      </c>
      <c r="L12" s="10"/>
    </row>
    <row r="13" spans="1:17" x14ac:dyDescent="0.25">
      <c r="A13" s="9" t="str">
        <f>H5</f>
        <v>Leche condensada</v>
      </c>
      <c r="B13" s="27">
        <v>0.5</v>
      </c>
      <c r="C13" s="7">
        <v>380</v>
      </c>
      <c r="D13" s="7" t="str">
        <f>J5</f>
        <v>grs</v>
      </c>
      <c r="E13" s="21">
        <f>K5</f>
        <v>29</v>
      </c>
      <c r="F13" s="24">
        <f>E13*B13</f>
        <v>14.5</v>
      </c>
      <c r="H13" s="9" t="s">
        <v>66</v>
      </c>
      <c r="I13" s="7">
        <v>255</v>
      </c>
      <c r="J13" s="7" t="s">
        <v>13</v>
      </c>
      <c r="K13" s="8">
        <v>56</v>
      </c>
      <c r="L13" s="10"/>
    </row>
    <row r="14" spans="1:17" x14ac:dyDescent="0.25">
      <c r="A14" s="9" t="str">
        <f>$A$1</f>
        <v>Preparacion base de leche</v>
      </c>
      <c r="B14" s="27">
        <v>1</v>
      </c>
      <c r="C14" s="7">
        <f>$C$7</f>
        <v>2090</v>
      </c>
      <c r="D14" s="7" t="s">
        <v>13</v>
      </c>
      <c r="E14" s="8">
        <f>$F$7</f>
        <v>79.616666666666674</v>
      </c>
      <c r="F14" s="24">
        <f>$F$7</f>
        <v>79.616666666666674</v>
      </c>
      <c r="H14" s="9" t="s">
        <v>38</v>
      </c>
      <c r="I14" s="7">
        <v>1</v>
      </c>
      <c r="J14" s="7" t="s">
        <v>24</v>
      </c>
      <c r="K14" s="8">
        <v>20</v>
      </c>
      <c r="L14" s="10"/>
    </row>
    <row r="15" spans="1:17" ht="15.75" thickBot="1" x14ac:dyDescent="0.3">
      <c r="A15" s="12" t="s">
        <v>47</v>
      </c>
      <c r="B15" s="28">
        <v>14</v>
      </c>
      <c r="C15" s="13">
        <v>11.7</v>
      </c>
      <c r="D15" s="13" t="s">
        <v>13</v>
      </c>
      <c r="E15" s="25">
        <f xml:space="preserve"> $K$22 / 1000 * 11.7</f>
        <v>1.3922999999999999</v>
      </c>
      <c r="F15" s="26">
        <f>E15*C15</f>
        <v>16.289909999999999</v>
      </c>
      <c r="H15" s="9" t="s">
        <v>39</v>
      </c>
      <c r="I15" s="7">
        <v>2</v>
      </c>
      <c r="J15" s="7" t="s">
        <v>24</v>
      </c>
      <c r="K15" s="8">
        <v>183</v>
      </c>
      <c r="L15" s="10"/>
    </row>
    <row r="16" spans="1:17" ht="15.75" thickBot="1" x14ac:dyDescent="0.3">
      <c r="A16" s="3" t="s">
        <v>17</v>
      </c>
      <c r="B16" s="4"/>
      <c r="C16" s="4"/>
      <c r="D16" s="4"/>
      <c r="E16" s="4"/>
      <c r="F16" s="6">
        <f>SUM(F12:F15)</f>
        <v>170.40657666666667</v>
      </c>
      <c r="H16" s="9" t="s">
        <v>27</v>
      </c>
      <c r="I16" s="7">
        <v>47</v>
      </c>
      <c r="J16" s="7" t="s">
        <v>13</v>
      </c>
      <c r="K16" s="8">
        <v>14.2</v>
      </c>
      <c r="L16" s="10"/>
    </row>
    <row r="17" spans="1:12" ht="15.75" thickBot="1" x14ac:dyDescent="0.3">
      <c r="A17" s="3" t="s">
        <v>51</v>
      </c>
      <c r="B17" s="4"/>
      <c r="C17" s="4"/>
      <c r="D17" s="4"/>
      <c r="E17" s="4"/>
      <c r="F17" s="29">
        <f>B15</f>
        <v>14</v>
      </c>
      <c r="H17" s="9" t="s">
        <v>28</v>
      </c>
      <c r="I17" s="7">
        <v>47</v>
      </c>
      <c r="J17" s="7" t="s">
        <v>13</v>
      </c>
      <c r="K17" s="8">
        <v>14.3</v>
      </c>
      <c r="L17" s="10"/>
    </row>
    <row r="18" spans="1:12" ht="15.75" thickBot="1" x14ac:dyDescent="0.3">
      <c r="A18" s="3" t="s">
        <v>4</v>
      </c>
      <c r="B18" s="6">
        <f>F16/F17</f>
        <v>12.171898333333333</v>
      </c>
      <c r="C18" s="4" t="s">
        <v>5</v>
      </c>
      <c r="D18" s="6">
        <f>$I$26</f>
        <v>25</v>
      </c>
      <c r="E18" s="31" t="s">
        <v>6</v>
      </c>
      <c r="F18" s="5">
        <f>D18-B18</f>
        <v>12.828101666666667</v>
      </c>
      <c r="G18" s="37"/>
      <c r="H18" s="9" t="s">
        <v>3</v>
      </c>
      <c r="I18" s="7">
        <v>1</v>
      </c>
      <c r="J18" s="7" t="s">
        <v>42</v>
      </c>
      <c r="K18" s="8">
        <v>577</v>
      </c>
      <c r="L18" s="10"/>
    </row>
    <row r="19" spans="1:12" ht="21.75" thickBot="1" x14ac:dyDescent="0.4">
      <c r="A19" s="38" t="s">
        <v>64</v>
      </c>
      <c r="B19" s="39"/>
      <c r="C19" s="39"/>
      <c r="D19" s="39"/>
      <c r="E19" s="39"/>
      <c r="F19" s="40">
        <f>((D18-B18)/D18)</f>
        <v>0.51312406666666666</v>
      </c>
      <c r="H19" s="9" t="s">
        <v>29</v>
      </c>
      <c r="I19" s="7">
        <v>100</v>
      </c>
      <c r="J19" s="7" t="s">
        <v>13</v>
      </c>
      <c r="K19" s="8">
        <v>25</v>
      </c>
      <c r="L19" s="10"/>
    </row>
    <row r="20" spans="1:12" ht="15.75" thickBot="1" x14ac:dyDescent="0.3">
      <c r="H20" s="9" t="s">
        <v>30</v>
      </c>
      <c r="I20" s="7">
        <v>1</v>
      </c>
      <c r="J20" s="7" t="s">
        <v>24</v>
      </c>
      <c r="K20" s="8">
        <v>24</v>
      </c>
      <c r="L20" s="10"/>
    </row>
    <row r="21" spans="1:12" ht="26.25" x14ac:dyDescent="0.4">
      <c r="A21" s="46" t="s">
        <v>59</v>
      </c>
      <c r="B21" s="47"/>
      <c r="C21" s="47"/>
      <c r="D21" s="47"/>
      <c r="E21" s="47"/>
      <c r="F21" s="48"/>
      <c r="H21" s="9" t="s">
        <v>31</v>
      </c>
      <c r="I21" s="7">
        <v>120</v>
      </c>
      <c r="J21" s="7" t="s">
        <v>40</v>
      </c>
      <c r="K21" s="8">
        <v>44</v>
      </c>
      <c r="L21" s="10"/>
    </row>
    <row r="22" spans="1:12" x14ac:dyDescent="0.25">
      <c r="A22" s="22" t="s">
        <v>49</v>
      </c>
      <c r="B22" s="20" t="s">
        <v>18</v>
      </c>
      <c r="C22" s="20" t="s">
        <v>19</v>
      </c>
      <c r="D22" s="20" t="s">
        <v>48</v>
      </c>
      <c r="E22" s="20" t="s">
        <v>20</v>
      </c>
      <c r="F22" s="23" t="s">
        <v>50</v>
      </c>
      <c r="H22" s="9" t="s">
        <v>32</v>
      </c>
      <c r="I22" s="7">
        <v>1</v>
      </c>
      <c r="J22" s="7" t="s">
        <v>24</v>
      </c>
      <c r="K22" s="8">
        <v>119</v>
      </c>
      <c r="L22" s="10"/>
    </row>
    <row r="23" spans="1:12" x14ac:dyDescent="0.25">
      <c r="A23" s="9" t="str">
        <f>H15</f>
        <v>Fresas congelada</v>
      </c>
      <c r="B23" s="27">
        <v>8</v>
      </c>
      <c r="C23" s="7">
        <v>20</v>
      </c>
      <c r="D23" s="7" t="s">
        <v>13</v>
      </c>
      <c r="E23" s="21">
        <v>2</v>
      </c>
      <c r="F23" s="24">
        <f>E23*B23</f>
        <v>16</v>
      </c>
      <c r="H23" s="9" t="s">
        <v>33</v>
      </c>
      <c r="I23" s="7">
        <v>500</v>
      </c>
      <c r="J23" s="7" t="s">
        <v>13</v>
      </c>
      <c r="K23" s="8">
        <v>60</v>
      </c>
      <c r="L23" s="10"/>
    </row>
    <row r="24" spans="1:12" ht="15.75" thickBot="1" x14ac:dyDescent="0.3">
      <c r="A24" s="9" t="str">
        <f>H12</f>
        <v>Sobre de tang fresa</v>
      </c>
      <c r="B24" s="27">
        <v>1</v>
      </c>
      <c r="C24" s="7">
        <v>380</v>
      </c>
      <c r="D24" s="7" t="s">
        <v>13</v>
      </c>
      <c r="E24" s="21">
        <f>K12</f>
        <v>5.8</v>
      </c>
      <c r="F24" s="24">
        <f>E24*B24</f>
        <v>5.8</v>
      </c>
      <c r="H24" s="12" t="s">
        <v>34</v>
      </c>
      <c r="I24" s="13">
        <v>1</v>
      </c>
      <c r="J24" s="13" t="s">
        <v>43</v>
      </c>
      <c r="K24" s="14">
        <v>25</v>
      </c>
      <c r="L24" s="15"/>
    </row>
    <row r="25" spans="1:12" x14ac:dyDescent="0.25">
      <c r="A25" s="9" t="str">
        <f>$A$1</f>
        <v>Preparacion base de leche</v>
      </c>
      <c r="B25" s="27">
        <v>1</v>
      </c>
      <c r="C25" s="7">
        <f>$C$7</f>
        <v>2090</v>
      </c>
      <c r="D25" s="7" t="s">
        <v>13</v>
      </c>
      <c r="E25" s="8">
        <f>$F$7</f>
        <v>79.616666666666674</v>
      </c>
      <c r="F25" s="24">
        <f>$F$7</f>
        <v>79.616666666666674</v>
      </c>
    </row>
    <row r="26" spans="1:12" ht="15.75" thickBot="1" x14ac:dyDescent="0.3">
      <c r="A26" s="12" t="s">
        <v>47</v>
      </c>
      <c r="B26" s="28">
        <v>12</v>
      </c>
      <c r="C26" s="13">
        <v>11.7</v>
      </c>
      <c r="D26" s="13" t="s">
        <v>13</v>
      </c>
      <c r="E26" s="25">
        <f xml:space="preserve"> $K$22 / 1000 * 11.7</f>
        <v>1.3922999999999999</v>
      </c>
      <c r="F26" s="26">
        <f>E26*C26</f>
        <v>16.289909999999999</v>
      </c>
      <c r="H26" t="s">
        <v>63</v>
      </c>
      <c r="I26" s="1">
        <v>25</v>
      </c>
    </row>
    <row r="27" spans="1:12" ht="15.75" thickBot="1" x14ac:dyDescent="0.3">
      <c r="A27" s="3" t="s">
        <v>17</v>
      </c>
      <c r="B27" s="4"/>
      <c r="C27" s="4"/>
      <c r="D27" s="4"/>
      <c r="E27" s="4"/>
      <c r="F27" s="6">
        <f>SUM(F23:F26)</f>
        <v>117.70657666666668</v>
      </c>
    </row>
    <row r="28" spans="1:12" ht="15.75" thickBot="1" x14ac:dyDescent="0.3">
      <c r="A28" s="3" t="s">
        <v>51</v>
      </c>
      <c r="B28" s="4"/>
      <c r="C28" s="4"/>
      <c r="D28" s="4"/>
      <c r="E28" s="4"/>
      <c r="F28" s="29">
        <f>B26</f>
        <v>12</v>
      </c>
      <c r="G28" s="37"/>
    </row>
    <row r="29" spans="1:12" ht="15.75" thickBot="1" x14ac:dyDescent="0.3">
      <c r="A29" s="3" t="s">
        <v>4</v>
      </c>
      <c r="B29" s="6">
        <f>F27/F28</f>
        <v>9.8088813888888904</v>
      </c>
      <c r="C29" s="4" t="s">
        <v>5</v>
      </c>
      <c r="D29" s="6">
        <f>$I$26</f>
        <v>25</v>
      </c>
      <c r="E29" s="31" t="s">
        <v>6</v>
      </c>
      <c r="F29" s="5">
        <f>D29-B29</f>
        <v>15.19111861111111</v>
      </c>
      <c r="G29" s="37"/>
    </row>
    <row r="30" spans="1:12" ht="21.75" thickBot="1" x14ac:dyDescent="0.4">
      <c r="A30" s="38" t="s">
        <v>64</v>
      </c>
      <c r="B30" s="39"/>
      <c r="C30" s="39"/>
      <c r="D30" s="39"/>
      <c r="E30" s="39"/>
      <c r="F30" s="40">
        <f>((D29-B29)/D29)</f>
        <v>0.60764474444444438</v>
      </c>
    </row>
    <row r="31" spans="1:12" ht="15.75" thickBot="1" x14ac:dyDescent="0.3">
      <c r="A31" s="30"/>
    </row>
    <row r="32" spans="1:12" ht="26.25" x14ac:dyDescent="0.4">
      <c r="A32" s="46" t="s">
        <v>53</v>
      </c>
      <c r="B32" s="47"/>
      <c r="C32" s="47"/>
      <c r="D32" s="47"/>
      <c r="E32" s="47"/>
      <c r="F32" s="48"/>
    </row>
    <row r="33" spans="1:7" x14ac:dyDescent="0.25">
      <c r="A33" s="22" t="s">
        <v>49</v>
      </c>
      <c r="B33" s="20" t="s">
        <v>18</v>
      </c>
      <c r="C33" s="20" t="s">
        <v>19</v>
      </c>
      <c r="D33" s="20" t="s">
        <v>48</v>
      </c>
      <c r="E33" s="20" t="s">
        <v>20</v>
      </c>
      <c r="F33" s="23" t="s">
        <v>50</v>
      </c>
    </row>
    <row r="34" spans="1:7" x14ac:dyDescent="0.25">
      <c r="A34" s="9" t="str">
        <f>$H$9</f>
        <v>Galleta maria</v>
      </c>
      <c r="B34" s="27">
        <v>1.5</v>
      </c>
      <c r="C34" s="7">
        <v>144</v>
      </c>
      <c r="D34" s="7" t="s">
        <v>13</v>
      </c>
      <c r="E34" s="21">
        <f>K9/3</f>
        <v>12.666666666666666</v>
      </c>
      <c r="F34" s="24">
        <f>E34*B34</f>
        <v>19</v>
      </c>
    </row>
    <row r="35" spans="1:7" x14ac:dyDescent="0.25">
      <c r="A35" s="9" t="str">
        <f>$A$1</f>
        <v>Preparacion base de leche</v>
      </c>
      <c r="B35" s="27">
        <v>1</v>
      </c>
      <c r="C35" s="7">
        <f>$C$7</f>
        <v>2090</v>
      </c>
      <c r="D35" s="7" t="s">
        <v>13</v>
      </c>
      <c r="E35" s="8">
        <f>$F$7</f>
        <v>79.616666666666674</v>
      </c>
      <c r="F35" s="24">
        <f>$F$7</f>
        <v>79.616666666666674</v>
      </c>
    </row>
    <row r="36" spans="1:7" ht="15.75" thickBot="1" x14ac:dyDescent="0.3">
      <c r="A36" s="12" t="s">
        <v>47</v>
      </c>
      <c r="B36" s="28">
        <v>12</v>
      </c>
      <c r="C36" s="13">
        <v>11.7</v>
      </c>
      <c r="D36" s="13" t="s">
        <v>13</v>
      </c>
      <c r="E36" s="25">
        <f xml:space="preserve"> $K$22 / 1000 * 11.7</f>
        <v>1.3922999999999999</v>
      </c>
      <c r="F36" s="26">
        <f>E36*C36</f>
        <v>16.289909999999999</v>
      </c>
    </row>
    <row r="37" spans="1:7" ht="15.75" thickBot="1" x14ac:dyDescent="0.3">
      <c r="A37" s="3" t="s">
        <v>17</v>
      </c>
      <c r="B37" s="4"/>
      <c r="C37" s="4"/>
      <c r="D37" s="4"/>
      <c r="E37" s="4"/>
      <c r="F37" s="6">
        <f>SUM(F34:F36)</f>
        <v>114.90657666666667</v>
      </c>
    </row>
    <row r="38" spans="1:7" ht="15.75" thickBot="1" x14ac:dyDescent="0.3">
      <c r="A38" s="3" t="s">
        <v>51</v>
      </c>
      <c r="B38" s="4"/>
      <c r="C38" s="4"/>
      <c r="D38" s="4"/>
      <c r="E38" s="4"/>
      <c r="F38" s="29">
        <f>B36</f>
        <v>12</v>
      </c>
      <c r="G38" s="37"/>
    </row>
    <row r="39" spans="1:7" ht="15.75" thickBot="1" x14ac:dyDescent="0.3">
      <c r="A39" s="3" t="s">
        <v>4</v>
      </c>
      <c r="B39" s="6">
        <f>F37/F38</f>
        <v>9.5755480555555561</v>
      </c>
      <c r="C39" s="4" t="s">
        <v>5</v>
      </c>
      <c r="D39" s="6">
        <f>$I$26</f>
        <v>25</v>
      </c>
      <c r="E39" s="31" t="s">
        <v>6</v>
      </c>
      <c r="F39" s="5">
        <f>D39-B39</f>
        <v>15.424451944444444</v>
      </c>
      <c r="G39" s="37"/>
    </row>
    <row r="40" spans="1:7" ht="21.75" thickBot="1" x14ac:dyDescent="0.4">
      <c r="A40" s="38" t="s">
        <v>64</v>
      </c>
      <c r="B40" s="39"/>
      <c r="C40" s="39"/>
      <c r="D40" s="39"/>
      <c r="E40" s="39"/>
      <c r="F40" s="40">
        <f>((D39-B39)/D39)</f>
        <v>0.6169780777777778</v>
      </c>
    </row>
    <row r="41" spans="1:7" ht="15.75" thickBot="1" x14ac:dyDescent="0.3"/>
    <row r="42" spans="1:7" ht="26.25" x14ac:dyDescent="0.4">
      <c r="A42" s="46" t="s">
        <v>60</v>
      </c>
      <c r="B42" s="47"/>
      <c r="C42" s="47"/>
      <c r="D42" s="47"/>
      <c r="E42" s="47"/>
      <c r="F42" s="48"/>
    </row>
    <row r="43" spans="1:7" x14ac:dyDescent="0.25">
      <c r="A43" s="22" t="s">
        <v>49</v>
      </c>
      <c r="B43" s="20" t="s">
        <v>18</v>
      </c>
      <c r="C43" s="20" t="s">
        <v>19</v>
      </c>
      <c r="D43" s="20" t="s">
        <v>48</v>
      </c>
      <c r="E43" s="20" t="s">
        <v>20</v>
      </c>
      <c r="F43" s="23" t="s">
        <v>50</v>
      </c>
    </row>
    <row r="44" spans="1:7" x14ac:dyDescent="0.25">
      <c r="A44" s="9" t="str">
        <f>H8</f>
        <v>Galleta oreo</v>
      </c>
      <c r="B44" s="27">
        <v>13</v>
      </c>
      <c r="C44" s="7">
        <v>7</v>
      </c>
      <c r="D44" s="7" t="s">
        <v>13</v>
      </c>
      <c r="E44" s="21">
        <f>K9/24</f>
        <v>1.5833333333333333</v>
      </c>
      <c r="F44" s="24">
        <f>E44*B44</f>
        <v>20.583333333333332</v>
      </c>
    </row>
    <row r="45" spans="1:7" x14ac:dyDescent="0.25">
      <c r="A45" s="9" t="str">
        <f>$A$1</f>
        <v>Preparacion base de leche</v>
      </c>
      <c r="B45" s="27">
        <v>1</v>
      </c>
      <c r="C45" s="7">
        <f>$C$7</f>
        <v>2090</v>
      </c>
      <c r="D45" s="7" t="s">
        <v>13</v>
      </c>
      <c r="E45" s="8">
        <f>$F$7</f>
        <v>79.616666666666674</v>
      </c>
      <c r="F45" s="24">
        <f>$F$7</f>
        <v>79.616666666666674</v>
      </c>
    </row>
    <row r="46" spans="1:7" ht="15.75" thickBot="1" x14ac:dyDescent="0.3">
      <c r="A46" s="12" t="s">
        <v>47</v>
      </c>
      <c r="B46" s="28">
        <v>12</v>
      </c>
      <c r="C46" s="13">
        <v>11.7</v>
      </c>
      <c r="D46" s="13" t="s">
        <v>13</v>
      </c>
      <c r="E46" s="25">
        <f xml:space="preserve"> $K$22 / 1000 * 11.7</f>
        <v>1.3922999999999999</v>
      </c>
      <c r="F46" s="26">
        <f>E46*C46</f>
        <v>16.289909999999999</v>
      </c>
    </row>
    <row r="47" spans="1:7" ht="15.75" thickBot="1" x14ac:dyDescent="0.3">
      <c r="A47" s="3" t="s">
        <v>17</v>
      </c>
      <c r="B47" s="4"/>
      <c r="C47" s="4"/>
      <c r="D47" s="4"/>
      <c r="E47" s="4"/>
      <c r="F47" s="6">
        <f>SUM(F44:F46)</f>
        <v>116.48991000000001</v>
      </c>
    </row>
    <row r="48" spans="1:7" ht="15.75" thickBot="1" x14ac:dyDescent="0.3">
      <c r="A48" s="3" t="s">
        <v>51</v>
      </c>
      <c r="B48" s="4"/>
      <c r="C48" s="4"/>
      <c r="D48" s="4"/>
      <c r="E48" s="4"/>
      <c r="F48" s="29">
        <f>B46</f>
        <v>12</v>
      </c>
      <c r="G48" s="37"/>
    </row>
    <row r="49" spans="1:7" ht="15.75" thickBot="1" x14ac:dyDescent="0.3">
      <c r="A49" s="3" t="s">
        <v>4</v>
      </c>
      <c r="B49" s="6">
        <f>F47/F48</f>
        <v>9.7074925000000007</v>
      </c>
      <c r="C49" s="4" t="s">
        <v>5</v>
      </c>
      <c r="D49" s="6">
        <f>$I$26</f>
        <v>25</v>
      </c>
      <c r="E49" s="31" t="s">
        <v>6</v>
      </c>
      <c r="F49" s="5">
        <f>D49-B49</f>
        <v>15.292507499999999</v>
      </c>
      <c r="G49" s="37"/>
    </row>
    <row r="50" spans="1:7" ht="21.75" thickBot="1" x14ac:dyDescent="0.4">
      <c r="A50" s="38" t="s">
        <v>64</v>
      </c>
      <c r="B50" s="39"/>
      <c r="C50" s="39"/>
      <c r="D50" s="39"/>
      <c r="E50" s="39"/>
      <c r="F50" s="40">
        <f>((D49-B49)/D49)</f>
        <v>0.61170029999999997</v>
      </c>
    </row>
    <row r="51" spans="1:7" ht="15.75" thickBot="1" x14ac:dyDescent="0.3"/>
    <row r="52" spans="1:7" ht="26.25" x14ac:dyDescent="0.4">
      <c r="A52" s="46" t="s">
        <v>1</v>
      </c>
      <c r="B52" s="47"/>
      <c r="C52" s="47"/>
      <c r="D52" s="47"/>
      <c r="E52" s="47"/>
      <c r="F52" s="48"/>
    </row>
    <row r="53" spans="1:7" x14ac:dyDescent="0.25">
      <c r="A53" s="22" t="s">
        <v>49</v>
      </c>
      <c r="B53" s="20" t="s">
        <v>18</v>
      </c>
      <c r="C53" s="20" t="s">
        <v>19</v>
      </c>
      <c r="D53" s="20" t="s">
        <v>48</v>
      </c>
      <c r="E53" s="20" t="s">
        <v>20</v>
      </c>
      <c r="F53" s="23" t="s">
        <v>50</v>
      </c>
    </row>
    <row r="54" spans="1:7" x14ac:dyDescent="0.25">
      <c r="A54" s="9" t="str">
        <f>H16</f>
        <v>Maicena nuez</v>
      </c>
      <c r="B54" s="27">
        <v>1</v>
      </c>
      <c r="C54" s="7">
        <v>47</v>
      </c>
      <c r="D54" s="7" t="s">
        <v>13</v>
      </c>
      <c r="E54" s="21">
        <f>K16</f>
        <v>14.2</v>
      </c>
      <c r="F54" s="24">
        <f>E54*B54</f>
        <v>14.2</v>
      </c>
    </row>
    <row r="55" spans="1:7" x14ac:dyDescent="0.25">
      <c r="A55" s="9" t="str">
        <f>$A$1</f>
        <v>Preparacion base de leche</v>
      </c>
      <c r="B55" s="27">
        <v>1</v>
      </c>
      <c r="C55" s="7">
        <f>$C$7</f>
        <v>2090</v>
      </c>
      <c r="D55" s="7" t="s">
        <v>13</v>
      </c>
      <c r="E55" s="8">
        <f>$F$7</f>
        <v>79.616666666666674</v>
      </c>
      <c r="F55" s="24">
        <f>$F$7</f>
        <v>79.616666666666674</v>
      </c>
    </row>
    <row r="56" spans="1:7" ht="15.75" thickBot="1" x14ac:dyDescent="0.3">
      <c r="A56" s="12" t="s">
        <v>47</v>
      </c>
      <c r="B56" s="28">
        <v>12</v>
      </c>
      <c r="C56" s="13">
        <v>11.7</v>
      </c>
      <c r="D56" s="13" t="s">
        <v>13</v>
      </c>
      <c r="E56" s="25">
        <f xml:space="preserve"> $K$22 / 1000 * 11.7</f>
        <v>1.3922999999999999</v>
      </c>
      <c r="F56" s="26">
        <f>E56*C56</f>
        <v>16.289909999999999</v>
      </c>
    </row>
    <row r="57" spans="1:7" ht="15.75" thickBot="1" x14ac:dyDescent="0.3">
      <c r="A57" s="3" t="s">
        <v>17</v>
      </c>
      <c r="B57" s="4"/>
      <c r="C57" s="4"/>
      <c r="D57" s="4"/>
      <c r="E57" s="4"/>
      <c r="F57" s="6">
        <f>SUM(F54:F56)</f>
        <v>110.10657666666668</v>
      </c>
    </row>
    <row r="58" spans="1:7" ht="15.75" thickBot="1" x14ac:dyDescent="0.3">
      <c r="A58" s="3" t="s">
        <v>51</v>
      </c>
      <c r="B58" s="4"/>
      <c r="C58" s="4"/>
      <c r="D58" s="4"/>
      <c r="E58" s="4"/>
      <c r="F58" s="29">
        <f>B56</f>
        <v>12</v>
      </c>
      <c r="G58" s="37"/>
    </row>
    <row r="59" spans="1:7" ht="15.75" thickBot="1" x14ac:dyDescent="0.3">
      <c r="A59" s="3" t="s">
        <v>4</v>
      </c>
      <c r="B59" s="6">
        <f>F57/F58</f>
        <v>9.1755480555555575</v>
      </c>
      <c r="C59" s="4" t="s">
        <v>5</v>
      </c>
      <c r="D59" s="6">
        <f>$I$26</f>
        <v>25</v>
      </c>
      <c r="E59" s="31" t="s">
        <v>6</v>
      </c>
      <c r="F59" s="5">
        <f>D59-B59</f>
        <v>15.824451944444442</v>
      </c>
      <c r="G59" s="37"/>
    </row>
    <row r="60" spans="1:7" ht="21.75" thickBot="1" x14ac:dyDescent="0.4">
      <c r="A60" s="38" t="s">
        <v>64</v>
      </c>
      <c r="B60" s="39"/>
      <c r="C60" s="39"/>
      <c r="D60" s="39"/>
      <c r="E60" s="39"/>
      <c r="F60" s="40">
        <f>((D59-B59)/D59)</f>
        <v>0.6329780777777777</v>
      </c>
    </row>
    <row r="61" spans="1:7" ht="15.75" thickBot="1" x14ac:dyDescent="0.3"/>
    <row r="62" spans="1:7" ht="26.25" x14ac:dyDescent="0.4">
      <c r="A62" s="46" t="s">
        <v>9</v>
      </c>
      <c r="B62" s="47"/>
      <c r="C62" s="47"/>
      <c r="D62" s="47"/>
      <c r="E62" s="47"/>
      <c r="F62" s="48"/>
    </row>
    <row r="63" spans="1:7" x14ac:dyDescent="0.25">
      <c r="A63" s="22" t="s">
        <v>49</v>
      </c>
      <c r="B63" s="20" t="s">
        <v>18</v>
      </c>
      <c r="C63" s="20" t="s">
        <v>19</v>
      </c>
      <c r="D63" s="20" t="s">
        <v>48</v>
      </c>
      <c r="E63" s="20" t="s">
        <v>20</v>
      </c>
      <c r="F63" s="23" t="s">
        <v>50</v>
      </c>
    </row>
    <row r="64" spans="1:7" x14ac:dyDescent="0.25">
      <c r="A64" s="9" t="str">
        <f>H17</f>
        <v>Maicena coco</v>
      </c>
      <c r="B64" s="27">
        <v>1</v>
      </c>
      <c r="C64" s="7">
        <f>I17</f>
        <v>47</v>
      </c>
      <c r="D64" s="7" t="s">
        <v>13</v>
      </c>
      <c r="E64" s="21">
        <f>K17</f>
        <v>14.3</v>
      </c>
      <c r="F64" s="24">
        <f>E64*B64</f>
        <v>14.3</v>
      </c>
    </row>
    <row r="65" spans="1:8" x14ac:dyDescent="0.25">
      <c r="A65" s="9" t="str">
        <f>$A$1</f>
        <v>Preparacion base de leche</v>
      </c>
      <c r="B65" s="27">
        <v>1</v>
      </c>
      <c r="C65" s="7">
        <f>$C$7</f>
        <v>2090</v>
      </c>
      <c r="D65" s="7" t="s">
        <v>13</v>
      </c>
      <c r="E65" s="8">
        <f>$F$7</f>
        <v>79.616666666666674</v>
      </c>
      <c r="F65" s="24">
        <f>$F$7</f>
        <v>79.616666666666674</v>
      </c>
    </row>
    <row r="66" spans="1:8" ht="15.75" thickBot="1" x14ac:dyDescent="0.3">
      <c r="A66" s="12" t="s">
        <v>47</v>
      </c>
      <c r="B66" s="28">
        <v>12</v>
      </c>
      <c r="C66" s="13">
        <v>11.7</v>
      </c>
      <c r="D66" s="13" t="s">
        <v>13</v>
      </c>
      <c r="E66" s="25">
        <f xml:space="preserve"> $K$22 / 1000 * 11.7</f>
        <v>1.3922999999999999</v>
      </c>
      <c r="F66" s="26">
        <f>E66*C66</f>
        <v>16.289909999999999</v>
      </c>
    </row>
    <row r="67" spans="1:8" ht="15.75" thickBot="1" x14ac:dyDescent="0.3">
      <c r="A67" s="3" t="s">
        <v>17</v>
      </c>
      <c r="B67" s="4"/>
      <c r="C67" s="4"/>
      <c r="D67" s="4"/>
      <c r="E67" s="4"/>
      <c r="F67" s="6">
        <f>SUM(F64:F66)</f>
        <v>110.20657666666668</v>
      </c>
    </row>
    <row r="68" spans="1:8" ht="15.75" thickBot="1" x14ac:dyDescent="0.3">
      <c r="A68" s="3" t="s">
        <v>51</v>
      </c>
      <c r="B68" s="4"/>
      <c r="C68" s="4"/>
      <c r="D68" s="4"/>
      <c r="E68" s="4"/>
      <c r="F68" s="29">
        <f>B66</f>
        <v>12</v>
      </c>
      <c r="G68" s="37"/>
    </row>
    <row r="69" spans="1:8" ht="15.75" thickBot="1" x14ac:dyDescent="0.3">
      <c r="A69" s="3" t="s">
        <v>4</v>
      </c>
      <c r="B69" s="6">
        <f>F67/F68</f>
        <v>9.1838813888888904</v>
      </c>
      <c r="C69" s="4" t="s">
        <v>5</v>
      </c>
      <c r="D69" s="6">
        <f>$I$26</f>
        <v>25</v>
      </c>
      <c r="E69" s="31" t="s">
        <v>6</v>
      </c>
      <c r="F69" s="5">
        <f>D69-B69</f>
        <v>15.81611861111111</v>
      </c>
      <c r="G69" s="37"/>
    </row>
    <row r="70" spans="1:8" ht="21.75" thickBot="1" x14ac:dyDescent="0.4">
      <c r="A70" s="38" t="s">
        <v>64</v>
      </c>
      <c r="B70" s="39"/>
      <c r="C70" s="39"/>
      <c r="D70" s="39"/>
      <c r="E70" s="39"/>
      <c r="F70" s="40">
        <f>((D69-B69)/D69)</f>
        <v>0.63264474444444441</v>
      </c>
    </row>
    <row r="71" spans="1:8" ht="15.75" thickBot="1" x14ac:dyDescent="0.3"/>
    <row r="72" spans="1:8" ht="26.25" x14ac:dyDescent="0.4">
      <c r="A72" s="46" t="s">
        <v>2</v>
      </c>
      <c r="B72" s="47"/>
      <c r="C72" s="47"/>
      <c r="D72" s="47"/>
      <c r="E72" s="47"/>
      <c r="F72" s="48"/>
    </row>
    <row r="73" spans="1:8" x14ac:dyDescent="0.25">
      <c r="A73" s="22" t="s">
        <v>49</v>
      </c>
      <c r="B73" s="20" t="s">
        <v>18</v>
      </c>
      <c r="C73" s="20" t="s">
        <v>19</v>
      </c>
      <c r="D73" s="20" t="s">
        <v>48</v>
      </c>
      <c r="E73" s="20" t="s">
        <v>20</v>
      </c>
      <c r="F73" s="23" t="s">
        <v>50</v>
      </c>
    </row>
    <row r="74" spans="1:8" x14ac:dyDescent="0.25">
      <c r="A74" s="9" t="str">
        <f>H21</f>
        <v>Vainilla para helados</v>
      </c>
      <c r="B74" s="27">
        <v>1</v>
      </c>
      <c r="C74" s="7">
        <v>30</v>
      </c>
      <c r="D74" s="7" t="s">
        <v>61</v>
      </c>
      <c r="E74" s="21">
        <f>K21/4</f>
        <v>11</v>
      </c>
      <c r="F74" s="24">
        <f>E74*B74</f>
        <v>11</v>
      </c>
    </row>
    <row r="75" spans="1:8" x14ac:dyDescent="0.25">
      <c r="A75" s="9" t="str">
        <f>$A$1</f>
        <v>Preparacion base de leche</v>
      </c>
      <c r="B75" s="27">
        <v>1</v>
      </c>
      <c r="C75" s="7">
        <f>$C$7</f>
        <v>2090</v>
      </c>
      <c r="D75" s="7" t="s">
        <v>13</v>
      </c>
      <c r="E75" s="8">
        <f>$F$7</f>
        <v>79.616666666666674</v>
      </c>
      <c r="F75" s="24">
        <f>$F$7</f>
        <v>79.616666666666674</v>
      </c>
    </row>
    <row r="76" spans="1:8" ht="15.75" thickBot="1" x14ac:dyDescent="0.3">
      <c r="A76" s="12" t="s">
        <v>47</v>
      </c>
      <c r="B76" s="28">
        <v>12</v>
      </c>
      <c r="C76" s="13">
        <v>11.7</v>
      </c>
      <c r="D76" s="13" t="s">
        <v>13</v>
      </c>
      <c r="E76" s="25">
        <f xml:space="preserve"> $K$22 / 1000 * 11.7</f>
        <v>1.3922999999999999</v>
      </c>
      <c r="F76" s="26">
        <f>E76*C76</f>
        <v>16.289909999999999</v>
      </c>
    </row>
    <row r="77" spans="1:8" ht="15.75" thickBot="1" x14ac:dyDescent="0.3">
      <c r="A77" s="3" t="s">
        <v>17</v>
      </c>
      <c r="B77" s="4"/>
      <c r="C77" s="4"/>
      <c r="D77" s="4"/>
      <c r="E77" s="4"/>
      <c r="F77" s="6">
        <f>SUM(F74:F76)</f>
        <v>106.90657666666667</v>
      </c>
    </row>
    <row r="78" spans="1:8" ht="15.75" thickBot="1" x14ac:dyDescent="0.3">
      <c r="A78" s="3" t="s">
        <v>51</v>
      </c>
      <c r="B78" s="4"/>
      <c r="C78" s="4"/>
      <c r="D78" s="4"/>
      <c r="E78" s="4"/>
      <c r="F78" s="29">
        <f>B76</f>
        <v>12</v>
      </c>
      <c r="G78" s="37"/>
    </row>
    <row r="79" spans="1:8" ht="15.75" thickBot="1" x14ac:dyDescent="0.3">
      <c r="A79" s="3" t="s">
        <v>4</v>
      </c>
      <c r="B79" s="6">
        <f>F77/F78</f>
        <v>8.9088813888888883</v>
      </c>
      <c r="C79" s="4" t="s">
        <v>5</v>
      </c>
      <c r="D79" s="6">
        <f>$I$26</f>
        <v>25</v>
      </c>
      <c r="E79" s="31" t="s">
        <v>6</v>
      </c>
      <c r="F79" s="5">
        <f>D79-B79</f>
        <v>16.091118611111114</v>
      </c>
      <c r="H79" s="1"/>
    </row>
    <row r="80" spans="1:8" ht="21.75" thickBot="1" x14ac:dyDescent="0.4">
      <c r="A80" s="38" t="s">
        <v>64</v>
      </c>
      <c r="B80" s="39"/>
      <c r="C80" s="39"/>
      <c r="D80" s="39"/>
      <c r="E80" s="39"/>
      <c r="F80" s="40">
        <f>((D79-B79)/D79)</f>
        <v>0.64364474444444453</v>
      </c>
    </row>
    <row r="81" spans="1:6" ht="15.75" thickBot="1" x14ac:dyDescent="0.3"/>
    <row r="82" spans="1:6" ht="26.25" x14ac:dyDescent="0.4">
      <c r="A82" s="46" t="s">
        <v>3</v>
      </c>
      <c r="B82" s="47"/>
      <c r="C82" s="47"/>
      <c r="D82" s="47"/>
      <c r="E82" s="47"/>
      <c r="F82" s="48"/>
    </row>
    <row r="83" spans="1:6" x14ac:dyDescent="0.25">
      <c r="A83" s="22" t="s">
        <v>49</v>
      </c>
      <c r="B83" s="20" t="s">
        <v>18</v>
      </c>
      <c r="C83" s="20" t="s">
        <v>19</v>
      </c>
      <c r="D83" s="20" t="s">
        <v>48</v>
      </c>
      <c r="E83" s="20" t="s">
        <v>20</v>
      </c>
      <c r="F83" s="23" t="s">
        <v>50</v>
      </c>
    </row>
    <row r="84" spans="1:6" x14ac:dyDescent="0.25">
      <c r="A84" s="9" t="str">
        <f>H18</f>
        <v>Baileys</v>
      </c>
      <c r="B84" s="27">
        <v>250</v>
      </c>
      <c r="C84" s="7">
        <v>1000</v>
      </c>
      <c r="D84" s="7" t="s">
        <v>42</v>
      </c>
      <c r="E84" s="21">
        <f>K18</f>
        <v>577</v>
      </c>
      <c r="F84" s="24">
        <f>(E84/1000)*B84</f>
        <v>144.25</v>
      </c>
    </row>
    <row r="85" spans="1:6" x14ac:dyDescent="0.25">
      <c r="A85" s="9" t="str">
        <f>$A$1</f>
        <v>Preparacion base de leche</v>
      </c>
      <c r="B85" s="27">
        <v>1</v>
      </c>
      <c r="C85" s="7">
        <f>$C$7</f>
        <v>2090</v>
      </c>
      <c r="D85" s="7" t="s">
        <v>13</v>
      </c>
      <c r="E85" s="8">
        <f>$F$7</f>
        <v>79.616666666666674</v>
      </c>
      <c r="F85" s="24">
        <f>$F$7</f>
        <v>79.616666666666674</v>
      </c>
    </row>
    <row r="86" spans="1:6" ht="15.75" thickBot="1" x14ac:dyDescent="0.3">
      <c r="A86" s="12" t="s">
        <v>47</v>
      </c>
      <c r="B86" s="28">
        <v>12</v>
      </c>
      <c r="C86" s="13">
        <v>11.7</v>
      </c>
      <c r="D86" s="13" t="s">
        <v>13</v>
      </c>
      <c r="E86" s="25">
        <f xml:space="preserve"> $K$22 / 1000 * 11.7</f>
        <v>1.3922999999999999</v>
      </c>
      <c r="F86" s="26">
        <f>E86*C86</f>
        <v>16.289909999999999</v>
      </c>
    </row>
    <row r="87" spans="1:6" ht="15.75" thickBot="1" x14ac:dyDescent="0.3">
      <c r="A87" s="3" t="s">
        <v>17</v>
      </c>
      <c r="B87" s="4"/>
      <c r="C87" s="4"/>
      <c r="D87" s="4"/>
      <c r="E87" s="4"/>
      <c r="F87" s="6">
        <f>SUM(F84:F86)</f>
        <v>240.15657666666667</v>
      </c>
    </row>
    <row r="88" spans="1:6" ht="15.75" thickBot="1" x14ac:dyDescent="0.3">
      <c r="A88" s="3" t="s">
        <v>51</v>
      </c>
      <c r="B88" s="4"/>
      <c r="C88" s="4"/>
      <c r="D88" s="4"/>
      <c r="E88" s="4"/>
      <c r="F88" s="29">
        <f>B86</f>
        <v>12</v>
      </c>
    </row>
    <row r="89" spans="1:6" ht="15.75" thickBot="1" x14ac:dyDescent="0.3">
      <c r="A89" s="3" t="s">
        <v>4</v>
      </c>
      <c r="B89" s="6">
        <f>F87/F88</f>
        <v>20.013048055555554</v>
      </c>
      <c r="C89" s="4" t="s">
        <v>5</v>
      </c>
      <c r="D89" s="6">
        <v>30</v>
      </c>
      <c r="E89" s="31" t="s">
        <v>6</v>
      </c>
      <c r="F89" s="5">
        <f>D89-B89</f>
        <v>9.9869519444444457</v>
      </c>
    </row>
    <row r="90" spans="1:6" ht="21.75" thickBot="1" x14ac:dyDescent="0.4">
      <c r="A90" s="38" t="s">
        <v>64</v>
      </c>
      <c r="B90" s="39"/>
      <c r="C90" s="39"/>
      <c r="D90" s="39"/>
      <c r="E90" s="39"/>
      <c r="F90" s="40">
        <f>((D89-B89)/D89)</f>
        <v>0.3328983981481482</v>
      </c>
    </row>
    <row r="91" spans="1:6" ht="15.75" thickBot="1" x14ac:dyDescent="0.3"/>
    <row r="92" spans="1:6" ht="26.25" x14ac:dyDescent="0.4">
      <c r="A92" s="46" t="s">
        <v>8</v>
      </c>
      <c r="B92" s="47"/>
      <c r="C92" s="47"/>
      <c r="D92" s="47"/>
      <c r="E92" s="47"/>
      <c r="F92" s="48"/>
    </row>
    <row r="93" spans="1:6" x14ac:dyDescent="0.25">
      <c r="A93" s="22" t="s">
        <v>49</v>
      </c>
      <c r="B93" s="20" t="s">
        <v>18</v>
      </c>
      <c r="C93" s="20" t="s">
        <v>19</v>
      </c>
      <c r="D93" s="20" t="s">
        <v>48</v>
      </c>
      <c r="E93" s="20" t="s">
        <v>20</v>
      </c>
      <c r="F93" s="23" t="s">
        <v>50</v>
      </c>
    </row>
    <row r="94" spans="1:6" x14ac:dyDescent="0.25">
      <c r="A94" s="9" t="str">
        <f>$H$20</f>
        <v>Azúcar</v>
      </c>
      <c r="B94" s="27">
        <v>345</v>
      </c>
      <c r="C94" s="7">
        <v>1000</v>
      </c>
      <c r="D94" s="7" t="s">
        <v>13</v>
      </c>
      <c r="E94" s="21">
        <v>24</v>
      </c>
      <c r="F94" s="24">
        <f>(E94/1000)*B94</f>
        <v>8.2799999999999994</v>
      </c>
    </row>
    <row r="95" spans="1:6" x14ac:dyDescent="0.25">
      <c r="A95" s="9" t="str">
        <f>$A$1</f>
        <v>Preparacion base de leche</v>
      </c>
      <c r="B95" s="27">
        <v>1</v>
      </c>
      <c r="C95" s="7">
        <f>$C$7</f>
        <v>2090</v>
      </c>
      <c r="D95" s="7" t="s">
        <v>13</v>
      </c>
      <c r="E95" s="8">
        <f>$F$7</f>
        <v>79.616666666666674</v>
      </c>
      <c r="F95" s="24">
        <f>$F$7</f>
        <v>79.616666666666674</v>
      </c>
    </row>
    <row r="96" spans="1:6" ht="15.75" thickBot="1" x14ac:dyDescent="0.3">
      <c r="A96" s="12" t="s">
        <v>47</v>
      </c>
      <c r="B96" s="28">
        <v>12</v>
      </c>
      <c r="C96" s="13">
        <v>11.7</v>
      </c>
      <c r="D96" s="13" t="s">
        <v>13</v>
      </c>
      <c r="E96" s="25">
        <f xml:space="preserve"> $K$22 / 1000 * 11.7</f>
        <v>1.3922999999999999</v>
      </c>
      <c r="F96" s="26">
        <f>E96*C96</f>
        <v>16.289909999999999</v>
      </c>
    </row>
    <row r="97" spans="1:8" ht="15.75" thickBot="1" x14ac:dyDescent="0.3">
      <c r="A97" s="3" t="s">
        <v>17</v>
      </c>
      <c r="B97" s="4"/>
      <c r="C97" s="4"/>
      <c r="D97" s="4"/>
      <c r="E97" s="4"/>
      <c r="F97" s="6">
        <f>SUM(F94:F96)</f>
        <v>104.18657666666667</v>
      </c>
    </row>
    <row r="98" spans="1:8" ht="15.75" thickBot="1" x14ac:dyDescent="0.3">
      <c r="A98" s="3" t="s">
        <v>51</v>
      </c>
      <c r="B98" s="4"/>
      <c r="C98" s="4"/>
      <c r="D98" s="4"/>
      <c r="E98" s="4"/>
      <c r="F98" s="29">
        <f>B96</f>
        <v>12</v>
      </c>
    </row>
    <row r="99" spans="1:8" ht="15.75" thickBot="1" x14ac:dyDescent="0.3">
      <c r="A99" s="3" t="s">
        <v>4</v>
      </c>
      <c r="B99" s="6">
        <f>F97/F98</f>
        <v>8.6822147222222217</v>
      </c>
      <c r="C99" s="4" t="s">
        <v>5</v>
      </c>
      <c r="D99" s="6">
        <f>$I$26</f>
        <v>25</v>
      </c>
      <c r="E99" s="31" t="s">
        <v>6</v>
      </c>
      <c r="F99" s="5">
        <f>D99-B99</f>
        <v>16.31778527777778</v>
      </c>
    </row>
    <row r="100" spans="1:8" ht="21.75" thickBot="1" x14ac:dyDescent="0.4">
      <c r="A100" s="38" t="s">
        <v>64</v>
      </c>
      <c r="B100" s="39"/>
      <c r="C100" s="39"/>
      <c r="D100" s="39"/>
      <c r="E100" s="39"/>
      <c r="F100" s="40">
        <f>((D99-B99)/D99)</f>
        <v>0.65271141111111119</v>
      </c>
    </row>
    <row r="101" spans="1:8" ht="15.75" thickBot="1" x14ac:dyDescent="0.3"/>
    <row r="102" spans="1:8" ht="26.25" x14ac:dyDescent="0.4">
      <c r="A102" s="46" t="s">
        <v>65</v>
      </c>
      <c r="B102" s="47"/>
      <c r="C102" s="47"/>
      <c r="D102" s="47"/>
      <c r="E102" s="47"/>
      <c r="F102" s="48"/>
    </row>
    <row r="103" spans="1:8" x14ac:dyDescent="0.25">
      <c r="A103" s="22" t="s">
        <v>49</v>
      </c>
      <c r="B103" s="43" t="s">
        <v>18</v>
      </c>
      <c r="C103" s="43" t="s">
        <v>19</v>
      </c>
      <c r="D103" s="43" t="s">
        <v>48</v>
      </c>
      <c r="E103" s="43" t="s">
        <v>20</v>
      </c>
      <c r="F103" s="44" t="s">
        <v>50</v>
      </c>
      <c r="H103" s="1"/>
    </row>
    <row r="104" spans="1:8" x14ac:dyDescent="0.25">
      <c r="A104" s="9" t="str">
        <f>$H$20</f>
        <v>Azúcar</v>
      </c>
      <c r="B104" s="27">
        <v>345</v>
      </c>
      <c r="C104" s="7">
        <v>1000</v>
      </c>
      <c r="D104" s="7" t="s">
        <v>13</v>
      </c>
      <c r="E104" s="21">
        <v>24</v>
      </c>
      <c r="F104" s="24">
        <f>(E104/C104)*B104</f>
        <v>8.2799999999999994</v>
      </c>
      <c r="H104" s="1"/>
    </row>
    <row r="105" spans="1:8" x14ac:dyDescent="0.25">
      <c r="A105" s="9" t="str">
        <f>H14</f>
        <v>Mango</v>
      </c>
      <c r="B105" s="27">
        <v>500</v>
      </c>
      <c r="C105" s="7">
        <v>1000</v>
      </c>
      <c r="D105" s="7" t="s">
        <v>13</v>
      </c>
      <c r="E105" s="21">
        <f>K14</f>
        <v>20</v>
      </c>
      <c r="F105" s="24">
        <f>(E105/C105)*B105</f>
        <v>10</v>
      </c>
      <c r="H105" s="1"/>
    </row>
    <row r="106" spans="1:8" x14ac:dyDescent="0.25">
      <c r="A106" s="32" t="str">
        <f>H11</f>
        <v>Sobre de tang mango</v>
      </c>
      <c r="B106" s="33">
        <v>6.5</v>
      </c>
      <c r="C106" s="34">
        <f>I11</f>
        <v>13</v>
      </c>
      <c r="D106" s="7" t="s">
        <v>13</v>
      </c>
      <c r="E106" s="41">
        <f>K11</f>
        <v>5.8</v>
      </c>
      <c r="F106" s="24">
        <f>(E106/C106)*B106</f>
        <v>2.9</v>
      </c>
    </row>
    <row r="107" spans="1:8" x14ac:dyDescent="0.25">
      <c r="A107" s="32" t="str">
        <f>H13</f>
        <v>Tajin</v>
      </c>
      <c r="B107" s="33">
        <v>30</v>
      </c>
      <c r="C107" s="34">
        <f>I13</f>
        <v>255</v>
      </c>
      <c r="D107" s="7" t="s">
        <v>13</v>
      </c>
      <c r="E107" s="41">
        <f>K13</f>
        <v>56</v>
      </c>
      <c r="F107" s="24">
        <f>(E107/C107)*B107</f>
        <v>6.5882352941176467</v>
      </c>
    </row>
    <row r="108" spans="1:8" x14ac:dyDescent="0.25">
      <c r="A108" s="9" t="str">
        <f>$H$4</f>
        <v>CMC</v>
      </c>
      <c r="B108" s="27">
        <v>7.5</v>
      </c>
      <c r="C108" s="7">
        <f>I4</f>
        <v>180</v>
      </c>
      <c r="D108" s="7" t="s">
        <v>13</v>
      </c>
      <c r="E108" s="21">
        <f>K4</f>
        <v>58</v>
      </c>
      <c r="F108" s="24">
        <f>(E108/C108)*B108</f>
        <v>2.416666666666667</v>
      </c>
    </row>
    <row r="109" spans="1:8" x14ac:dyDescent="0.25">
      <c r="A109" s="32" t="s">
        <v>0</v>
      </c>
      <c r="B109" s="33">
        <v>1500</v>
      </c>
      <c r="C109" s="45">
        <v>1.5</v>
      </c>
      <c r="D109" s="34" t="s">
        <v>12</v>
      </c>
      <c r="E109" s="41">
        <v>5</v>
      </c>
      <c r="F109" s="42">
        <v>5</v>
      </c>
    </row>
    <row r="110" spans="1:8" ht="15.75" thickBot="1" x14ac:dyDescent="0.3">
      <c r="A110" s="12" t="s">
        <v>47</v>
      </c>
      <c r="B110" s="28">
        <v>14</v>
      </c>
      <c r="C110" s="13">
        <v>11.7</v>
      </c>
      <c r="D110" s="13" t="s">
        <v>13</v>
      </c>
      <c r="E110" s="25">
        <f xml:space="preserve"> $K$22 / 1000 * 11.7</f>
        <v>1.3922999999999999</v>
      </c>
      <c r="F110" s="26">
        <f>E110*C110</f>
        <v>16.289909999999999</v>
      </c>
    </row>
    <row r="111" spans="1:8" ht="15.75" thickBot="1" x14ac:dyDescent="0.3">
      <c r="A111" s="3" t="s">
        <v>17</v>
      </c>
      <c r="B111" s="4"/>
      <c r="C111" s="4"/>
      <c r="D111" s="4"/>
      <c r="E111" s="4"/>
      <c r="F111" s="6">
        <f>SUM(F104:F110)</f>
        <v>51.474811960784315</v>
      </c>
    </row>
    <row r="112" spans="1:8" ht="15.75" thickBot="1" x14ac:dyDescent="0.3">
      <c r="A112" s="3" t="s">
        <v>51</v>
      </c>
      <c r="B112" s="4"/>
      <c r="C112" s="4"/>
      <c r="D112" s="4"/>
      <c r="E112" s="4"/>
      <c r="F112" s="29">
        <f>B110</f>
        <v>14</v>
      </c>
    </row>
    <row r="113" spans="1:6" ht="15.75" thickBot="1" x14ac:dyDescent="0.3">
      <c r="A113" s="3" t="s">
        <v>4</v>
      </c>
      <c r="B113" s="6">
        <f>F111/F112</f>
        <v>3.6767722829131655</v>
      </c>
      <c r="C113" s="4" t="s">
        <v>5</v>
      </c>
      <c r="D113" s="6">
        <v>20</v>
      </c>
      <c r="E113" s="31" t="s">
        <v>6</v>
      </c>
      <c r="F113" s="5">
        <f>D113-B113</f>
        <v>16.323227717086834</v>
      </c>
    </row>
    <row r="114" spans="1:6" ht="21.75" thickBot="1" x14ac:dyDescent="0.4">
      <c r="A114" s="38" t="s">
        <v>64</v>
      </c>
      <c r="B114" s="39"/>
      <c r="C114" s="39"/>
      <c r="D114" s="39"/>
      <c r="E114" s="39"/>
      <c r="F114" s="40">
        <f>((D113-B113)/D113)</f>
        <v>0.81616138585434173</v>
      </c>
    </row>
    <row r="115" spans="1:6" ht="15.75" thickBot="1" x14ac:dyDescent="0.3"/>
    <row r="116" spans="1:6" ht="26.25" x14ac:dyDescent="0.4">
      <c r="A116" s="46" t="s">
        <v>7</v>
      </c>
      <c r="B116" s="47"/>
      <c r="C116" s="47"/>
      <c r="D116" s="47"/>
      <c r="E116" s="47"/>
      <c r="F116" s="48"/>
    </row>
    <row r="117" spans="1:6" x14ac:dyDescent="0.25">
      <c r="A117" s="22" t="s">
        <v>49</v>
      </c>
      <c r="B117" s="43" t="s">
        <v>18</v>
      </c>
      <c r="C117" s="43" t="s">
        <v>19</v>
      </c>
      <c r="D117" s="43" t="s">
        <v>48</v>
      </c>
      <c r="E117" s="43" t="s">
        <v>20</v>
      </c>
      <c r="F117" s="44" t="s">
        <v>50</v>
      </c>
    </row>
    <row r="118" spans="1:6" x14ac:dyDescent="0.25">
      <c r="A118" s="32" t="str">
        <f>H10</f>
        <v>Sobre de tang limon</v>
      </c>
      <c r="B118" s="33">
        <v>13</v>
      </c>
      <c r="C118" s="34">
        <v>13</v>
      </c>
      <c r="D118" s="7" t="s">
        <v>13</v>
      </c>
      <c r="E118" s="41">
        <f>K10</f>
        <v>6.5</v>
      </c>
      <c r="F118" s="24">
        <f>(E118/C118)*B118</f>
        <v>6.5</v>
      </c>
    </row>
    <row r="119" spans="1:6" x14ac:dyDescent="0.25">
      <c r="A119" s="9" t="str">
        <f>$H$20</f>
        <v>Azúcar</v>
      </c>
      <c r="B119" s="27">
        <v>170</v>
      </c>
      <c r="C119" s="7">
        <v>1000</v>
      </c>
      <c r="D119" s="7" t="s">
        <v>13</v>
      </c>
      <c r="E119" s="21">
        <v>24</v>
      </c>
      <c r="F119" s="24">
        <f>(E119/C119)*B119</f>
        <v>4.08</v>
      </c>
    </row>
    <row r="120" spans="1:6" x14ac:dyDescent="0.25">
      <c r="A120" s="32" t="s">
        <v>0</v>
      </c>
      <c r="B120" s="33">
        <v>1500</v>
      </c>
      <c r="C120" s="45">
        <v>1.5</v>
      </c>
      <c r="D120" s="34" t="s">
        <v>12</v>
      </c>
      <c r="E120" s="41">
        <v>5</v>
      </c>
      <c r="F120" s="42">
        <v>5</v>
      </c>
    </row>
    <row r="121" spans="1:6" x14ac:dyDescent="0.25">
      <c r="A121" s="9" t="str">
        <f>$H$4</f>
        <v>CMC</v>
      </c>
      <c r="B121" s="27">
        <v>7.5</v>
      </c>
      <c r="C121" s="7">
        <f>I17</f>
        <v>47</v>
      </c>
      <c r="D121" s="7" t="s">
        <v>13</v>
      </c>
      <c r="E121" s="21">
        <f>K17</f>
        <v>14.3</v>
      </c>
      <c r="F121" s="24">
        <f>(E121/C121)*B121</f>
        <v>2.2819148936170213</v>
      </c>
    </row>
    <row r="122" spans="1:6" ht="15.75" thickBot="1" x14ac:dyDescent="0.3">
      <c r="A122" s="12" t="s">
        <v>47</v>
      </c>
      <c r="B122" s="28">
        <v>14</v>
      </c>
      <c r="C122" s="13">
        <v>11.7</v>
      </c>
      <c r="D122" s="13" t="s">
        <v>13</v>
      </c>
      <c r="E122" s="25">
        <f xml:space="preserve"> $K$22 / 1000 * 11.7</f>
        <v>1.3922999999999999</v>
      </c>
      <c r="F122" s="26">
        <f>E122*C122</f>
        <v>16.289909999999999</v>
      </c>
    </row>
    <row r="123" spans="1:6" ht="15.75" thickBot="1" x14ac:dyDescent="0.3">
      <c r="A123" s="3" t="s">
        <v>17</v>
      </c>
      <c r="B123" s="4"/>
      <c r="C123" s="4"/>
      <c r="D123" s="4"/>
      <c r="E123" s="4"/>
      <c r="F123" s="6">
        <f>SUM(F118:F122)</f>
        <v>34.151824893617018</v>
      </c>
    </row>
    <row r="124" spans="1:6" ht="15.75" thickBot="1" x14ac:dyDescent="0.3">
      <c r="A124" s="3" t="s">
        <v>51</v>
      </c>
      <c r="B124" s="4"/>
      <c r="C124" s="4"/>
      <c r="D124" s="4"/>
      <c r="E124" s="4"/>
      <c r="F124" s="29">
        <f>B122</f>
        <v>14</v>
      </c>
    </row>
    <row r="125" spans="1:6" ht="15.75" thickBot="1" x14ac:dyDescent="0.3">
      <c r="A125" s="3" t="s">
        <v>4</v>
      </c>
      <c r="B125" s="6">
        <f>F123/F124</f>
        <v>2.4394160638297868</v>
      </c>
      <c r="C125" s="4" t="s">
        <v>5</v>
      </c>
      <c r="D125" s="6">
        <v>20</v>
      </c>
      <c r="E125" s="31" t="s">
        <v>6</v>
      </c>
      <c r="F125" s="5">
        <f>D125-B125</f>
        <v>17.560583936170215</v>
      </c>
    </row>
    <row r="126" spans="1:6" ht="21.75" thickBot="1" x14ac:dyDescent="0.4">
      <c r="A126" s="38" t="s">
        <v>64</v>
      </c>
      <c r="B126" s="39"/>
      <c r="C126" s="39"/>
      <c r="D126" s="39"/>
      <c r="E126" s="39"/>
      <c r="F126" s="40">
        <f>((D125-B125)/D125)</f>
        <v>0.87802919680851077</v>
      </c>
    </row>
    <row r="127" spans="1:6" ht="15.75" thickBot="1" x14ac:dyDescent="0.3"/>
    <row r="128" spans="1:6" ht="26.25" x14ac:dyDescent="0.4">
      <c r="A128" s="46" t="s">
        <v>67</v>
      </c>
      <c r="B128" s="47"/>
      <c r="C128" s="47"/>
      <c r="D128" s="47"/>
      <c r="E128" s="47"/>
      <c r="F128" s="48"/>
    </row>
    <row r="129" spans="1:6" x14ac:dyDescent="0.25">
      <c r="A129" s="22" t="s">
        <v>49</v>
      </c>
      <c r="B129" s="20" t="s">
        <v>18</v>
      </c>
      <c r="C129" s="20" t="s">
        <v>19</v>
      </c>
      <c r="D129" s="20" t="s">
        <v>48</v>
      </c>
      <c r="E129" s="20" t="s">
        <v>20</v>
      </c>
      <c r="F129" s="23" t="s">
        <v>50</v>
      </c>
    </row>
    <row r="130" spans="1:6" x14ac:dyDescent="0.25">
      <c r="A130" s="9" t="str">
        <f>$H$9</f>
        <v>Galleta maria</v>
      </c>
      <c r="B130" s="27">
        <v>72</v>
      </c>
      <c r="C130" s="7">
        <v>144</v>
      </c>
      <c r="D130" s="7" t="s">
        <v>13</v>
      </c>
      <c r="E130" s="21">
        <f>K9/3</f>
        <v>12.666666666666666</v>
      </c>
      <c r="F130" s="24">
        <f>(E130/C130)*B130</f>
        <v>6.3333333333333339</v>
      </c>
    </row>
    <row r="131" spans="1:6" x14ac:dyDescent="0.25">
      <c r="A131" s="9" t="str">
        <f>H10</f>
        <v>Sobre de tang limon</v>
      </c>
      <c r="B131" s="27">
        <f>I10</f>
        <v>13</v>
      </c>
      <c r="C131" s="7">
        <f>B131</f>
        <v>13</v>
      </c>
      <c r="D131" s="7" t="s">
        <v>13</v>
      </c>
      <c r="E131" s="41">
        <f>K10</f>
        <v>6.5</v>
      </c>
      <c r="F131" s="24">
        <f>(E131/C131)*B131</f>
        <v>6.5</v>
      </c>
    </row>
    <row r="132" spans="1:6" x14ac:dyDescent="0.25">
      <c r="A132" s="9" t="str">
        <f>$A$1</f>
        <v>Preparacion base de leche</v>
      </c>
      <c r="B132" s="27">
        <v>1</v>
      </c>
      <c r="C132" s="7">
        <f>$C$7</f>
        <v>2090</v>
      </c>
      <c r="D132" s="7" t="s">
        <v>13</v>
      </c>
      <c r="E132" s="8">
        <f>$F$7</f>
        <v>79.616666666666674</v>
      </c>
      <c r="F132" s="24">
        <f>$F$7</f>
        <v>79.616666666666674</v>
      </c>
    </row>
    <row r="133" spans="1:6" ht="15.75" thickBot="1" x14ac:dyDescent="0.3">
      <c r="A133" s="12" t="s">
        <v>47</v>
      </c>
      <c r="B133" s="28">
        <v>12</v>
      </c>
      <c r="C133" s="13">
        <v>11.7</v>
      </c>
      <c r="D133" s="13" t="s">
        <v>13</v>
      </c>
      <c r="E133" s="25">
        <f xml:space="preserve"> $K$22 / 1000 * 11.7</f>
        <v>1.3922999999999999</v>
      </c>
      <c r="F133" s="26">
        <f>E133*C133</f>
        <v>16.289909999999999</v>
      </c>
    </row>
    <row r="134" spans="1:6" ht="15.75" thickBot="1" x14ac:dyDescent="0.3">
      <c r="A134" s="3" t="s">
        <v>17</v>
      </c>
      <c r="B134" s="4"/>
      <c r="C134" s="4"/>
      <c r="D134" s="4"/>
      <c r="E134" s="4"/>
      <c r="F134" s="6">
        <f>SUM(F130:F133)</f>
        <v>108.73991000000001</v>
      </c>
    </row>
    <row r="135" spans="1:6" ht="15.75" thickBot="1" x14ac:dyDescent="0.3">
      <c r="A135" s="3" t="s">
        <v>51</v>
      </c>
      <c r="B135" s="4"/>
      <c r="C135" s="4"/>
      <c r="D135" s="4"/>
      <c r="E135" s="4"/>
      <c r="F135" s="29">
        <f>B133</f>
        <v>12</v>
      </c>
    </row>
    <row r="136" spans="1:6" ht="15.75" thickBot="1" x14ac:dyDescent="0.3">
      <c r="A136" s="3" t="s">
        <v>4</v>
      </c>
      <c r="B136" s="6">
        <f>F134/F135</f>
        <v>9.0616591666666668</v>
      </c>
      <c r="C136" s="4" t="s">
        <v>5</v>
      </c>
      <c r="D136" s="6">
        <f>$I$26</f>
        <v>25</v>
      </c>
      <c r="E136" s="31" t="s">
        <v>6</v>
      </c>
      <c r="F136" s="5">
        <f>D136-B136</f>
        <v>15.938340833333333</v>
      </c>
    </row>
    <row r="137" spans="1:6" ht="21.75" thickBot="1" x14ac:dyDescent="0.4">
      <c r="A137" s="38" t="s">
        <v>64</v>
      </c>
      <c r="B137" s="39"/>
      <c r="C137" s="39"/>
      <c r="D137" s="39"/>
      <c r="E137" s="39"/>
      <c r="F137" s="40">
        <f>((D136-B136)/D136)</f>
        <v>0.63753363333333335</v>
      </c>
    </row>
  </sheetData>
  <mergeCells count="15">
    <mergeCell ref="A128:F128"/>
    <mergeCell ref="A82:F82"/>
    <mergeCell ref="A92:F92"/>
    <mergeCell ref="A102:F102"/>
    <mergeCell ref="A116:F116"/>
    <mergeCell ref="A1:F1"/>
    <mergeCell ref="A9:B9"/>
    <mergeCell ref="H1:L1"/>
    <mergeCell ref="A10:F10"/>
    <mergeCell ref="A21:F21"/>
    <mergeCell ref="A32:F32"/>
    <mergeCell ref="A42:F42"/>
    <mergeCell ref="A52:F52"/>
    <mergeCell ref="A62:F62"/>
    <mergeCell ref="A72:F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Sabores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2019-08-02T04:29:24Z</dcterms:created>
  <dcterms:modified xsi:type="dcterms:W3CDTF">2026-05-27T05:35:49Z</dcterms:modified>
</cp:coreProperties>
</file>